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B-MU_Robot_RCT_01\Desktop\MI_Compilation_UPDATED\"/>
    </mc:Choice>
  </mc:AlternateContent>
  <bookViews>
    <workbookView xWindow="0" yWindow="0" windowWidth="19200" windowHeight="9060"/>
  </bookViews>
  <sheets>
    <sheet name="Setup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1" l="1"/>
  <c r="G13" i="1" s="1"/>
  <c r="G14" i="1" l="1"/>
  <c r="C2" i="1"/>
  <c r="C3" i="1"/>
</calcChain>
</file>

<file path=xl/sharedStrings.xml><?xml version="1.0" encoding="utf-8"?>
<sst xmlns="http://schemas.openxmlformats.org/spreadsheetml/2006/main" count="48" uniqueCount="46">
  <si>
    <t>Format date</t>
  </si>
  <si>
    <t>Filename</t>
  </si>
  <si>
    <t>Testing</t>
  </si>
  <si>
    <t xml:space="preserve">MMYYYY Folder </t>
  </si>
  <si>
    <t>OutputFiles to copy files</t>
  </si>
  <si>
    <t>MU_MMMYY-Acct-level Impairment WORKINGS</t>
  </si>
  <si>
    <t>Group Fx Rate-</t>
  </si>
  <si>
    <t>DRU Imp (Bkt 2&amp;3) Bal</t>
  </si>
  <si>
    <t xml:space="preserve">DRU Imp (Bkt4) Bal </t>
  </si>
  <si>
    <t>DRU FCY-Def Bkt-</t>
  </si>
  <si>
    <t xml:space="preserve">Impairment Summary </t>
  </si>
  <si>
    <t xml:space="preserve">Impairment WD3 </t>
  </si>
  <si>
    <t>Impairment Input</t>
  </si>
  <si>
    <t>100%ProvOn+Offshre+FRAUD</t>
  </si>
  <si>
    <t>Centre Acct-level Imp-MU_</t>
  </si>
  <si>
    <t>i9_mauritius_File Formating Template-Oct20.xlsx</t>
  </si>
  <si>
    <t>i9_mauritius_MMMYY</t>
  </si>
  <si>
    <t>Group Fx Rate-MMMYY</t>
  </si>
  <si>
    <t>Current month - 2 :- 100% Provisioned List-MMMYY-FROM CENTRE</t>
  </si>
  <si>
    <t>Current month - 2 :- DRU Impairment for MMMYY  Workings</t>
  </si>
  <si>
    <t>Current month - 1 : - MU_MMMYY-Acct-level Impairment WORKINGS</t>
  </si>
  <si>
    <t>Current month - 1 : - MU_IFRS9_WD3_template MMM'YY</t>
  </si>
  <si>
    <t>Current month - 1 : -i9_mauritius_File Formating Template-MMMYY</t>
  </si>
  <si>
    <t>Current month - 1(Table from sheet input -file MU_IFRS9):</t>
  </si>
  <si>
    <t>Folder name(Current month)</t>
  </si>
  <si>
    <t>DATA ADDED BY BOT</t>
  </si>
  <si>
    <t>100% Provisioned List-FROM CENTRE.xlsx</t>
  </si>
  <si>
    <t>DRU Impairment for Workings.xls</t>
  </si>
  <si>
    <t>MU_Acct-level Impairment WORKINGS.xlsx</t>
  </si>
  <si>
    <t>MU_IFRS9_WD3_template.xlsb</t>
  </si>
  <si>
    <t>i9_mauritius_File Formating Template.xlsx</t>
  </si>
  <si>
    <t>MONTH</t>
  </si>
  <si>
    <t>YEAR</t>
  </si>
  <si>
    <t>MONTH(format - MMMYY)</t>
  </si>
  <si>
    <t>MONTH(format - MMM/YY)</t>
  </si>
  <si>
    <t xml:space="preserve">MONTH(format - MMMYY) - 1 </t>
  </si>
  <si>
    <t>Centre Acct-level Imp-MU_Nov20</t>
  </si>
  <si>
    <t>100%ProvOn+Offshre+FRAUD Oct20</t>
  </si>
  <si>
    <t>Impairment Input Nov20</t>
  </si>
  <si>
    <t>Impairment WD3 Nov20</t>
  </si>
  <si>
    <t>Impairment Summary Nov20</t>
  </si>
  <si>
    <t>DRU FCY-Def Bkt-Oct20</t>
  </si>
  <si>
    <t>DRU Imp (Bkt4) Bal Oct20</t>
  </si>
  <si>
    <t>DRU Imp (Bkt 2&amp;3) Bal Oct20</t>
  </si>
  <si>
    <t>Group Fx Rate-Nov20</t>
  </si>
  <si>
    <t>i9_mauritius_Nov20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</si>
</sst>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22" fontId="0" fillId="0" borderId="0" xfId="0" applyNumberFormat="1"/>
    <xf numFmtId="0" fontId="0" fillId="0" borderId="0" xfId="0" applyAlignme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2" borderId="0" xfId="0" applyNumberFormat="1" applyFill="1"/>
    <xf numFmtId="0" fontId="0" fillId="0" borderId="0" xfId="0" applyNumberFormat="1"/>
    <xf numFmtId="0" fontId="0" fillId="0" borderId="0" xfId="0" applyFill="1"/>
    <xf numFmtId="0" fontId="0" fillId="3" borderId="0" xfId="0" applyFill="1" applyAlignment="1"/>
    <xf numFmtId="0" fontId="0" fillId="0" borderId="0" xfId="0" applyFill="1" applyAlignment="1"/>
    <xf numFmtId="14" fontId="0" fillId="0" borderId="0" xfId="0" applyNumberFormat="1" applyFill="1" applyAlignment="1"/>
    <xf numFmtId="0" fontId="0" fillId="0" borderId="0" xfId="0" applyFont="1" applyFill="1"/>
    <xf numFmtId="49" fontId="0" fillId="0" borderId="0" xfId="0" applyNumberFormat="1"/>
    <xf numFmtId="14" fontId="0" fillId="0" borderId="0" xfId="0" applyNumberFormat="1"/>
    <xf numFmtId="0" fontId="0" fillId="6" borderId="0" xfId="0" applyNumberFormat="1" applyFill="1"/>
    <xf numFmtId="0" fontId="0" fillId="4" borderId="0" xfId="0" applyNumberFormat="1" applyFill="1"/>
    <xf numFmtId="0" fontId="0" fillId="0" borderId="0" xfId="0" applyNumberFormat="1" applyFill="1"/>
    <xf numFmtId="0" fontId="0" fillId="7" borderId="0" xfId="0" applyFill="1"/>
    <xf numFmtId="0" fontId="0" fillId="7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2850092</xdr:colOff>
      <xdr:row>4</xdr:row>
      <xdr:rowOff>186267</xdr:rowOff>
    </xdr:from>
    <xdr:to>
      <xdr:col>2</xdr:col>
      <xdr:colOff>3894667</xdr:colOff>
      <xdr:row>6</xdr:row>
      <xdr:rowOff>81492</xdr:rowOff>
    </xdr:to>
    <xdr:sp macro="[0]!runMI_process" textlink="">
      <xdr:nvSpPr>
        <xdr:cNvPr id="2" name="TextBox 1">
          <a:extLst>
            <a:ext uri="{FF2B5EF4-FFF2-40B4-BE49-F238E27FC236}">
              <a16:creationId xmlns:a16="http://schemas.microsoft.com/office/drawing/2014/main" id="{F4B8B8BB-640C-4F3A-9EE7-924D092DAE67}"/>
            </a:ext>
          </a:extLst>
        </xdr:cNvPr>
        <xdr:cNvSpPr txBox="1"/>
      </xdr:nvSpPr>
      <xdr:spPr>
        <a:xfrm>
          <a:off x="7644342" y="948267"/>
          <a:ext cx="1044575" cy="276225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100"/>
            <a:t>MI Button</a:t>
          </a:r>
          <a:endParaRPr lang="en-M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0"/>
  <sheetViews>
    <sheetView tabSelected="1" topLeftCell="D10" zoomScaleNormal="100" workbookViewId="0">
      <selection activeCell="C14" sqref="C14"/>
    </sheetView>
  </sheetViews>
  <sheetFormatPr defaultRowHeight="15" x14ac:dyDescent="0.25"/>
  <cols>
    <col min="2" max="2" width="62.7109375" customWidth="1"/>
    <col min="3" max="3" width="102.28515625" style="2" customWidth="1"/>
    <col min="4" max="4" width="7.7109375" customWidth="1"/>
    <col min="6" max="6" width="53.42578125" bestFit="1" customWidth="1"/>
    <col min="7" max="7" width="35.5703125" style="9" bestFit="1" customWidth="1"/>
    <col min="8" max="8" width="9.140625" style="10"/>
    <col min="10" max="10" width="68.28515625" customWidth="1"/>
    <col min="11" max="11" width="50.42578125" customWidth="1"/>
  </cols>
  <sheetData>
    <row r="1" spans="1:11" x14ac:dyDescent="0.25">
      <c r="F1" s="5" t="s">
        <v>0</v>
      </c>
      <c r="G1" s="18" t="s">
        <v>2</v>
      </c>
      <c r="J1" s="5" t="s">
        <v>1</v>
      </c>
      <c r="K1" s="5"/>
    </row>
    <row r="2" spans="1:11" x14ac:dyDescent="0.25">
      <c r="B2" s="3" t="s">
        <v>3</v>
      </c>
      <c r="C2" s="11" t="str">
        <f ca="1">(LEFT(CELL("filename",A1),SEARCH("[",CELL("filename",A1))-1))&amp;"MI"&amp;"\"&amp;G4&amp;"\"</f>
        <v>C:\Users\RB-MU_Robot_RCT_01\Desktop\MI_Compilation_UPDATED\MI\112020\</v>
      </c>
      <c r="F2" s="5"/>
      <c r="G2" s="5"/>
      <c r="J2" s="6" t="s">
        <v>18</v>
      </c>
      <c r="K2" s="7" t="s">
        <v>26</v>
      </c>
    </row>
    <row r="3" spans="1:11" x14ac:dyDescent="0.25">
      <c r="B3" s="3" t="s">
        <v>4</v>
      </c>
      <c r="C3" s="11" t="str">
        <f ca="1">(LEFT(CELL("filename",A2),SEARCH("[",CELL("filename",A2))-1))&amp;"MI files"&amp;"\"</f>
        <v>C:\Users\RB-MU_Robot_RCT_01\Desktop\MI_Compilation_UPDATED\MI files\</v>
      </c>
      <c r="F3" s="5"/>
      <c r="G3" s="5"/>
      <c r="J3" s="6" t="s">
        <v>19</v>
      </c>
      <c r="K3" s="7" t="s">
        <v>27</v>
      </c>
    </row>
    <row r="4" spans="1:11" x14ac:dyDescent="0.25">
      <c r="B4" s="10"/>
      <c r="C4" s="12"/>
      <c r="F4" s="6" t="s">
        <v>24</v>
      </c>
      <c r="G4" s="7">
        <v>112020</v>
      </c>
      <c r="J4" s="5"/>
      <c r="K4" s="5"/>
    </row>
    <row r="5" spans="1:11" x14ac:dyDescent="0.25">
      <c r="F5" s="5"/>
      <c r="G5" s="5"/>
      <c r="J5" s="6" t="s">
        <v>20</v>
      </c>
      <c r="K5" s="7" t="s">
        <v>28</v>
      </c>
    </row>
    <row r="6" spans="1:11" x14ac:dyDescent="0.25">
      <c r="F6" s="5"/>
      <c r="G6" s="5"/>
      <c r="J6" s="6" t="s">
        <v>21</v>
      </c>
      <c r="K6" s="7" t="s">
        <v>29</v>
      </c>
    </row>
    <row r="7" spans="1:11" x14ac:dyDescent="0.25">
      <c r="F7" s="5"/>
      <c r="G7" s="5"/>
      <c r="J7" s="6" t="s">
        <v>22</v>
      </c>
      <c r="K7" s="7" t="s">
        <v>30</v>
      </c>
    </row>
    <row r="8" spans="1:11" x14ac:dyDescent="0.25">
      <c r="A8" s="10"/>
      <c r="B8" s="10"/>
      <c r="C8" s="12"/>
      <c r="F8" s="6" t="s">
        <v>23</v>
      </c>
      <c r="G8" s="17">
        <v>202011</v>
      </c>
    </row>
    <row r="9" spans="1:11" x14ac:dyDescent="0.25">
      <c r="A9" s="10"/>
      <c r="B9" s="10"/>
      <c r="C9" s="12"/>
      <c r="F9" s="10"/>
      <c r="G9" s="19"/>
      <c r="J9" s="10"/>
      <c r="K9" s="10"/>
    </row>
    <row r="10" spans="1:11" x14ac:dyDescent="0.25">
      <c r="A10" s="10"/>
      <c r="B10" s="10"/>
      <c r="C10" s="12"/>
      <c r="F10" s="6" t="s">
        <v>31</v>
      </c>
      <c r="G10" s="17">
        <v>11</v>
      </c>
      <c r="J10" s="10"/>
      <c r="K10" s="10"/>
    </row>
    <row r="11" spans="1:11" x14ac:dyDescent="0.25">
      <c r="A11" s="10"/>
      <c r="B11" s="10"/>
      <c r="C11" s="12"/>
      <c r="F11" s="6" t="s">
        <v>32</v>
      </c>
      <c r="G11" s="17">
        <v>2020</v>
      </c>
      <c r="J11" s="10"/>
      <c r="K11" s="10"/>
    </row>
    <row r="12" spans="1:11" x14ac:dyDescent="0.25">
      <c r="A12" s="10"/>
      <c r="B12" s="10"/>
      <c r="C12" s="12"/>
      <c r="F12" s="6" t="s">
        <v>34</v>
      </c>
      <c r="G12" s="17" t="str">
        <f>G10&amp;"/"&amp;G11</f>
        <v>11/2020</v>
      </c>
      <c r="J12" s="10"/>
      <c r="K12" s="10"/>
    </row>
    <row r="13" spans="1:11" x14ac:dyDescent="0.25">
      <c r="A13" s="10"/>
      <c r="B13" s="10"/>
      <c r="C13" s="13"/>
      <c r="D13" s="1"/>
      <c r="F13" s="6" t="s">
        <v>33</v>
      </c>
      <c r="G13" s="17" t="str">
        <f>TEXT(G12,"MMMYY")</f>
        <v>Nov20</v>
      </c>
    </row>
    <row r="14" spans="1:11" x14ac:dyDescent="0.25">
      <c r="A14" s="10"/>
      <c r="B14" s="10"/>
      <c r="C14" s="12"/>
      <c r="F14" s="6" t="s">
        <v>35</v>
      </c>
      <c r="G14" s="17" t="str">
        <f>TEXT(G12-1,"MMMYY")</f>
        <v>Oct20</v>
      </c>
      <c r="J14" s="20" t="s">
        <v>25</v>
      </c>
      <c r="K14" s="20"/>
    </row>
    <row r="15" spans="1:11" x14ac:dyDescent="0.25">
      <c r="A15" s="10"/>
      <c r="B15" s="10"/>
      <c r="C15" s="12"/>
      <c r="J15" s="3" t="s">
        <v>15</v>
      </c>
      <c r="K15" s="3"/>
    </row>
    <row r="16" spans="1:11" x14ac:dyDescent="0.25">
      <c r="A16" s="10"/>
      <c r="B16" s="10"/>
      <c r="C16" s="12"/>
      <c r="G16" s="15"/>
      <c r="J16" s="4" t="s">
        <v>16</v>
      </c>
      <c r="K16" s="4" t="s">
        <v>45</v>
      </c>
    </row>
    <row r="17" spans="1:11" x14ac:dyDescent="0.25">
      <c r="A17" s="10"/>
      <c r="B17" s="10"/>
      <c r="C17" s="12"/>
      <c r="J17" s="4" t="s">
        <v>17</v>
      </c>
      <c r="K17" s="4" t="s">
        <v>44</v>
      </c>
    </row>
    <row r="18" spans="1:11" x14ac:dyDescent="0.25">
      <c r="A18" s="10"/>
      <c r="B18" s="10"/>
      <c r="C18" s="12"/>
    </row>
    <row r="19" spans="1:11" x14ac:dyDescent="0.25">
      <c r="A19" s="10"/>
      <c r="B19" s="10"/>
      <c r="C19" s="12"/>
    </row>
    <row r="20" spans="1:11" x14ac:dyDescent="0.25">
      <c r="A20" s="10"/>
      <c r="B20" s="14"/>
      <c r="C20" s="12"/>
      <c r="F20" s="20" t="s">
        <v>25</v>
      </c>
      <c r="G20" s="21"/>
    </row>
    <row r="21" spans="1:11" x14ac:dyDescent="0.25">
      <c r="B21" s="14"/>
      <c r="C21" s="12"/>
      <c r="F21" s="3" t="s">
        <v>5</v>
      </c>
      <c r="G21" s="8"/>
    </row>
    <row r="22" spans="1:11" x14ac:dyDescent="0.25">
      <c r="B22" s="14"/>
      <c r="C22" s="12"/>
      <c r="F22" t="s">
        <v>6</v>
      </c>
      <c r="G22" s="9" t="s">
        <v>44</v>
      </c>
    </row>
    <row r="23" spans="1:11" x14ac:dyDescent="0.25">
      <c r="B23" s="10"/>
      <c r="C23" s="12"/>
      <c r="F23" t="s">
        <v>7</v>
      </c>
      <c r="G23" s="9" t="s">
        <v>43</v>
      </c>
    </row>
    <row r="24" spans="1:11" x14ac:dyDescent="0.25">
      <c r="B24" s="10"/>
      <c r="C24" s="12"/>
      <c r="F24" t="s">
        <v>8</v>
      </c>
      <c r="G24" s="9" t="s">
        <v>42</v>
      </c>
    </row>
    <row r="25" spans="1:11" x14ac:dyDescent="0.25">
      <c r="B25" s="10"/>
      <c r="C25" s="12"/>
      <c r="F25" t="s">
        <v>9</v>
      </c>
      <c r="G25" s="9" t="s">
        <v>41</v>
      </c>
    </row>
    <row r="26" spans="1:11" x14ac:dyDescent="0.25">
      <c r="F26" t="s">
        <v>10</v>
      </c>
      <c r="G26" s="9" t="s">
        <v>40</v>
      </c>
    </row>
    <row r="27" spans="1:11" x14ac:dyDescent="0.25">
      <c r="F27" t="s">
        <v>11</v>
      </c>
      <c r="G27" s="9" t="s">
        <v>39</v>
      </c>
    </row>
    <row r="28" spans="1:11" x14ac:dyDescent="0.25">
      <c r="F28" t="s">
        <v>12</v>
      </c>
      <c r="G28" s="9" t="s">
        <v>38</v>
      </c>
    </row>
    <row r="29" spans="1:11" x14ac:dyDescent="0.25">
      <c r="F29" t="s">
        <v>13</v>
      </c>
      <c r="G29" s="9" t="s">
        <v>37</v>
      </c>
      <c r="J29" s="16"/>
    </row>
    <row r="30" spans="1:11" x14ac:dyDescent="0.25">
      <c r="F30" t="s">
        <v>14</v>
      </c>
      <c r="G30" s="9" t="s">
        <v>36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Revathee Sabapathee</dc:creator>
  <cp:lastModifiedBy>RB-MU_Robot_RCT_01</cp:lastModifiedBy>
  <dcterms:created xsi:type="dcterms:W3CDTF">2020-08-31T09:58:57Z</dcterms:created>
  <dcterms:modified xsi:type="dcterms:W3CDTF">2021-01-18T06:55:13Z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885f32c5-ecfb-420f-87c9-fa4f3885622d</vt:lpwstr>
  </property>
  <property fmtid="{D5CDD505-2E9C-101B-9397-08002B2CF9AE}" pid="3" name="TitusGDPR">
    <vt:lpwstr>TitusGDPRNo</vt:lpwstr>
  </property>
  <property fmtid="{D5CDD505-2E9C-101B-9397-08002B2CF9AE}" pid="4" name="TitusPCI">
    <vt:lpwstr>TitusPCINo</vt:lpwstr>
  </property>
  <property fmtid="{D5CDD505-2E9C-101B-9397-08002B2CF9AE}" pid="5" name="TitusPOPI">
    <vt:lpwstr>TitusPOPINo</vt:lpwstr>
  </property>
  <property fmtid="{D5CDD505-2E9C-101B-9397-08002B2CF9AE}" pid="6" name="TitusPOPISpecial">
    <vt:lpwstr>TitusPOPISpecialNo</vt:lpwstr>
  </property>
  <property fmtid="{D5CDD505-2E9C-101B-9397-08002B2CF9AE}" pid="7" name="TitusClassification">
    <vt:lpwstr>TitusRestricted</vt:lpwstr>
  </property>
</Properties>
</file>